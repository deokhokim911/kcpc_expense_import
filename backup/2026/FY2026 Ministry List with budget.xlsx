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FC040A34-F68B-4DCF-88A6-30E9BB413D89}" xr6:coauthVersionLast="47" xr6:coauthVersionMax="47" xr10:uidLastSave="{00000000-0000-0000-0000-000000000000}"/>
  <bookViews>
    <workbookView xWindow="4530" yWindow="840" windowWidth="13455" windowHeight="14520" xr2:uid="{7DAA8B88-C844-4B1F-AE5E-8B47EF3F3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4" i="1" l="1"/>
  <c r="C147" i="1"/>
  <c r="C133" i="1"/>
  <c r="C120" i="1"/>
  <c r="C100" i="1"/>
  <c r="C92" i="1"/>
  <c r="C85" i="1"/>
  <c r="C71" i="1"/>
  <c r="C14" i="1" l="1"/>
</calcChain>
</file>

<file path=xl/sharedStrings.xml><?xml version="1.0" encoding="utf-8"?>
<sst xmlns="http://schemas.openxmlformats.org/spreadsheetml/2006/main" count="170" uniqueCount="170">
  <si>
    <t>예배찬양사역원 합계</t>
    <phoneticPr fontId="5" type="noConversion"/>
  </si>
  <si>
    <t>101 - 예배찬양사역원 / WORSHIP PRAISE MINISTRY</t>
    <phoneticPr fontId="5" type="noConversion"/>
  </si>
  <si>
    <t>예배운영부 / WORSHIP PLANNING</t>
  </si>
  <si>
    <t>성례부 / COMMUNION</t>
  </si>
  <si>
    <t>예배통역부 / TRANSLATION</t>
  </si>
  <si>
    <t>찬양기획지원부 / WORSHIP OPERATION SUPPORT</t>
  </si>
  <si>
    <t>찬양사역1부 / CHOIR 1</t>
  </si>
  <si>
    <t>찬양사역2부 / CHOIR 2</t>
  </si>
  <si>
    <t>찬양사역3부 / CHOIR 3</t>
  </si>
  <si>
    <t>에벤에셀찬양부 / EBENEZER CHOIR</t>
  </si>
  <si>
    <t>찬양팀사역부 / CHOIR SUPPORT</t>
  </si>
  <si>
    <t>악기관리부 / INSTRUMENT MANAGEMENT</t>
  </si>
  <si>
    <t>오케스트라부 / ORCHESTRA</t>
  </si>
  <si>
    <t>찬양훈련부 / PRAISE TRAINING</t>
  </si>
  <si>
    <t>시니어사역원 합계</t>
    <phoneticPr fontId="5" type="noConversion"/>
  </si>
  <si>
    <t>103 - 시니어사역원 / SENIOR MINISTRY</t>
    <phoneticPr fontId="5" type="noConversion"/>
  </si>
  <si>
    <t>시니어교육부 / SENIOR EDUCTION</t>
  </si>
  <si>
    <t>시니어사역부 / SENIOR MINISTRY</t>
  </si>
  <si>
    <t>시니어행정기획부 / SENIOR ADMINISTRATION</t>
  </si>
  <si>
    <t>시니어문화부 / SENIOR CULTURE MINISTRY</t>
  </si>
  <si>
    <t>시니어센터 / SENIOR CENTER</t>
  </si>
  <si>
    <t>시니어장례지원부 / FUNERAL SUPPORT</t>
  </si>
  <si>
    <t>섬김관리부 / VOLUNTEERS MANAGEMENT</t>
  </si>
  <si>
    <t>새가족사역원 합계</t>
    <phoneticPr fontId="5" type="noConversion"/>
  </si>
  <si>
    <t>104 - 새가족사역원 / NEW FAMILY MINISTRY</t>
    <phoneticPr fontId="5" type="noConversion"/>
  </si>
  <si>
    <t>새가족부 / NEW FAMILY</t>
  </si>
  <si>
    <t>이슬비사역부 / CARE &amp; CORRESPONDENCE</t>
  </si>
  <si>
    <t>바나바사역부 / BARNABAS</t>
  </si>
  <si>
    <t>새가족영어부 / NEW FAMILY - ENGLISH</t>
  </si>
  <si>
    <t>정착부 / NEW MEMBER ASSIMILATION</t>
  </si>
  <si>
    <t>가정사역원 합계</t>
    <phoneticPr fontId="5" type="noConversion"/>
  </si>
  <si>
    <t>105 - 가정사역원 / FAMILY MINISTRY</t>
    <phoneticPr fontId="5" type="noConversion"/>
  </si>
  <si>
    <t>가정돌봄 사역부 / COUNSELING &amp; REVIVAL</t>
  </si>
  <si>
    <t>남성사역부 / MEN'S MINISTRY</t>
  </si>
  <si>
    <t>여성사역부 / WOMEN'S MINISTRY</t>
  </si>
  <si>
    <t>결혼사역부 / WEDDING MINISTRY</t>
  </si>
  <si>
    <t>가정교육사역부 / FAMILY EDUCATION</t>
  </si>
  <si>
    <t>목양사역원 합계</t>
    <phoneticPr fontId="5" type="noConversion"/>
  </si>
  <si>
    <t xml:space="preserve"> 106 - 목양사역원 / PASTORAL CARE MINISTRY</t>
    <phoneticPr fontId="5" type="noConversion"/>
  </si>
  <si>
    <t>소그룹운영부 / MOKYANG PLANNING</t>
  </si>
  <si>
    <t>소그룹지원협력부 / SMALL GROUP PLANNING</t>
  </si>
  <si>
    <t>필로스 지원부 / FILOS SUPPORT</t>
  </si>
  <si>
    <t>소그룹기획부 / SMALL GROUP DATA &amp; RESOURCES</t>
  </si>
  <si>
    <t>소그룹훈련부 / SMALL GROUP TRAINING</t>
  </si>
  <si>
    <t>CONNECT 예배부 / KCPC CONNECT WORSHIP</t>
  </si>
  <si>
    <t>CONNECT 순모임 / KCPC CONNECT SMALL GROUP</t>
  </si>
  <si>
    <t>CONNECT 미디어 / KCPC CONNECT MEDIA</t>
  </si>
  <si>
    <t>CONNECT 케어/전도 / KCPC CONNECT OUTREACH</t>
  </si>
  <si>
    <t>중보기도부 / INTERCESSIONARY PRAYER</t>
  </si>
  <si>
    <t>은혜의 샘 / FOUNTAIN OF GRACE</t>
  </si>
  <si>
    <t>KIDS CARE &amp; OUTREACH</t>
  </si>
  <si>
    <t>어린이사역원 합계</t>
    <phoneticPr fontId="5" type="noConversion"/>
  </si>
  <si>
    <t>107 - 어린이사역원 / CHILDREN'S MINISTRY</t>
    <phoneticPr fontId="5" type="noConversion"/>
  </si>
  <si>
    <t>영아부 NURSERY</t>
  </si>
  <si>
    <t>유아부 PRESCHOOL</t>
  </si>
  <si>
    <t>K-1 학년 GRADE K-1</t>
  </si>
  <si>
    <t>2-3 학년 GRADE 2-3</t>
  </si>
  <si>
    <t>4-6 학년 GRADE 4-6</t>
  </si>
  <si>
    <t>한글성경교실 / KOREAN BIBLE SCHOOL</t>
  </si>
  <si>
    <t>어와나부 AWANA</t>
  </si>
  <si>
    <t>좋은이웃부 GOOD NEIGHBOR</t>
  </si>
  <si>
    <t>CHILDREN'S CHOIR</t>
  </si>
  <si>
    <t>교재비 및 도서비 / CLASS MATERIALS</t>
  </si>
  <si>
    <t>훈련비 / TRAINING</t>
  </si>
  <si>
    <t>행사비 / SPECIAL EVENTS</t>
  </si>
  <si>
    <t>중앙한글학교보조 / KOREAN LANGUAGE SCHOOL</t>
  </si>
  <si>
    <t>청소년청년사역원 합계</t>
    <phoneticPr fontId="5" type="noConversion"/>
  </si>
  <si>
    <t>108 - 청소년 청년사역원 / YOUTH YOUNG MINISTRY</t>
    <phoneticPr fontId="4" type="noConversion"/>
  </si>
  <si>
    <t>영어중등부 / ALL STARS</t>
  </si>
  <si>
    <t>영어고등부 / JG</t>
  </si>
  <si>
    <t>한어중고등부 / AGAPE</t>
  </si>
  <si>
    <t>YOUTH MUSICAL</t>
  </si>
  <si>
    <t>YOUTH CARE &amp; OUTREACH</t>
  </si>
  <si>
    <t>YOUTH TEACHER TRAINING</t>
  </si>
  <si>
    <t>YOUTH PARENT SEMINAR</t>
  </si>
  <si>
    <t>청소년 장년상담 / COUNSELING</t>
  </si>
  <si>
    <t>청년부(킹덤) / YOUTH (KINGDOM)</t>
  </si>
  <si>
    <t>열린예배 및 부흥회 / OPEN SERVICE</t>
  </si>
  <si>
    <t>청년부수련회 / YOUTH RETREAT</t>
  </si>
  <si>
    <t>장년훈련사역원 합계</t>
    <phoneticPr fontId="5" type="noConversion"/>
  </si>
  <si>
    <t>110 - 장년훈련사역원/ TRAINING MINISTRY</t>
    <phoneticPr fontId="4" type="noConversion"/>
  </si>
  <si>
    <t>일대일양육부 / ONE ON ONE TRAINING</t>
  </si>
  <si>
    <t>2:7 제자 양육부 / 2:7 DISCIPLESHIP TRAINING</t>
  </si>
  <si>
    <t>제자/사역훈련부 / DISCIPLE TRAINING</t>
  </si>
  <si>
    <t>훈련개발부 / PLANNING &amp; DEVELOPMENT</t>
  </si>
  <si>
    <t>친교사역원 합계</t>
    <phoneticPr fontId="5" type="noConversion"/>
  </si>
  <si>
    <t>111 - 친교사역원 / FELLOWSHIP MINISTRY</t>
    <phoneticPr fontId="4" type="noConversion"/>
  </si>
  <si>
    <t>친교봉사부 / FELLOWSHIP</t>
  </si>
  <si>
    <t>친교지원부 / FELLOWSHIP SUPPORT</t>
  </si>
  <si>
    <t>더센트 커피사역부 / THE SENT COFFEE</t>
  </si>
  <si>
    <t>체육부 / SPORTS ACTIVITIES</t>
  </si>
  <si>
    <t>카페운영부 / BLESSING CAFE</t>
  </si>
  <si>
    <t>정보미디어사역원 합계</t>
    <phoneticPr fontId="5" type="noConversion"/>
  </si>
  <si>
    <t>113 - 정보미디어사역원/ IT MEDIA MINISTRY</t>
    <phoneticPr fontId="4" type="noConversion"/>
  </si>
  <si>
    <t>방송부 / BROADCASTING</t>
  </si>
  <si>
    <t>정보기술부 / IT DEVELOPMENT</t>
  </si>
  <si>
    <t>웹(Web)사역부 / WEB DEVELOPMENT</t>
  </si>
  <si>
    <t>전산개발부 / INFO/DATA DEVELOPMENT</t>
  </si>
  <si>
    <t>네트웍/통신부 / NETWORK DEVELOPMENT</t>
  </si>
  <si>
    <t>홍보출판부 / PUBLICATION/PROMOTION</t>
  </si>
  <si>
    <t>콘텐츠운영부 / CONTENTS MANAGEMENT</t>
  </si>
  <si>
    <t>영상제작부 / VIDEO PRODUCTION</t>
  </si>
  <si>
    <t>커뮤니티전도사역원 합계</t>
    <phoneticPr fontId="5" type="noConversion"/>
  </si>
  <si>
    <t>114 - 커뮤니티전도사역원/ COMMUNITY EVANGELISM MINISTRY</t>
    <phoneticPr fontId="4" type="noConversion"/>
  </si>
  <si>
    <t>커뮤니티섬김부 / LOCAL COMMUNITY</t>
  </si>
  <si>
    <t>의료협력부 / MEDICAL MINISTRY</t>
  </si>
  <si>
    <t>복지센터 WELFARE SAFETY NET</t>
  </si>
  <si>
    <t>전도훈련부 / EVANGELISM TRAINING</t>
  </si>
  <si>
    <t>새생명전도 지원부 / NEW LIFE MINISTRY</t>
  </si>
  <si>
    <t>한사람전도부 / EVANGELISM OUTREACH</t>
  </si>
  <si>
    <t>선교사역원 합계</t>
    <phoneticPr fontId="5" type="noConversion"/>
  </si>
  <si>
    <t>116 - 선교사역원 / MISSION MINISTRY</t>
    <phoneticPr fontId="4" type="noConversion"/>
  </si>
  <si>
    <t>선교기획/동원부 / PLANNING &amp; DEVELOPMENT</t>
  </si>
  <si>
    <t>선교지원부 / MISSION SUPPORT</t>
  </si>
  <si>
    <t>단기선교부 / SHORT-TERM MISSION</t>
  </si>
  <si>
    <t>선교훈련부 / MISSION TRAINING</t>
  </si>
  <si>
    <t>북한선교부 / NORTH KOREA MISSION</t>
  </si>
  <si>
    <t>다민족선교부 / MULTI CULTURAL MISSION</t>
  </si>
  <si>
    <t>컴페션선교부 / COMPASSION</t>
  </si>
  <si>
    <t>교회선교사보조비 / MISSIONARY SUPPORT</t>
  </si>
  <si>
    <t>선교기관지원 / MISSION AGENCY SUPPORT</t>
  </si>
  <si>
    <t>입양족선교부 / ADOPTIVE MISSION</t>
  </si>
  <si>
    <t>행정사역원 합계</t>
    <phoneticPr fontId="5" type="noConversion"/>
  </si>
  <si>
    <t>117 - 행정사역원/ ADMINISTRATION MINISTRY</t>
    <phoneticPr fontId="4" type="noConversion"/>
  </si>
  <si>
    <t>외빈사역부 / HOSPITALITY</t>
  </si>
  <si>
    <t>도서부 / LIBRARY</t>
  </si>
  <si>
    <t>서점운영부 / BOOK STORE</t>
  </si>
  <si>
    <t>행정기획부 / PLAN &amp; DEVELOPMENT</t>
  </si>
  <si>
    <t>교회시설관리부 / CHUCH BLDG MAINT</t>
  </si>
  <si>
    <t>구매/자산관리부 / PURCHASHING DEPT</t>
  </si>
  <si>
    <t>주차관리부 / PARKING &amp; GROUND</t>
  </si>
  <si>
    <t>차량운영/관리부 / VEHICLES &amp; TRANSPORTATION</t>
  </si>
  <si>
    <t>교회시설공간기획부 / DESIGN &amp; INTERIOR</t>
  </si>
  <si>
    <t>안전관리부 / SAFETY &amp; SECURITY</t>
  </si>
  <si>
    <t>교회사무실 / CHURCH OFFICE</t>
  </si>
  <si>
    <t>재정사역원 합계</t>
    <phoneticPr fontId="5" type="noConversion"/>
  </si>
  <si>
    <t>118 - 재정사역원 / FINANCE MINISTRY</t>
    <phoneticPr fontId="4" type="noConversion"/>
  </si>
  <si>
    <t>재정출납부 / COUNTING TEAM</t>
  </si>
  <si>
    <t>회계부 / ACCOUNTING</t>
  </si>
  <si>
    <t>재산/금융관리부 / BANKING</t>
  </si>
  <si>
    <t>사례비 / WAGES</t>
  </si>
  <si>
    <t>주택 수당 / HOUSING ALLOWANCE</t>
  </si>
  <si>
    <t>가족 수당 / FAMILY ALLOWANCE</t>
  </si>
  <si>
    <t>자동차 수당 / AUTO ALLOWANCE</t>
  </si>
  <si>
    <t>도서 수당 / BOOK ALLOWANCE</t>
  </si>
  <si>
    <t>핸드폰 수당 / CELLPHONE ALLOWANCE</t>
  </si>
  <si>
    <t>교직원세금 / PAYROLL TAXES</t>
  </si>
  <si>
    <t>건강보험 / HEALTH INSURANCE</t>
  </si>
  <si>
    <t>연금 / RETIREMENT FUND</t>
  </si>
  <si>
    <t>보험/허가/재산세 / PP TAX / INSURANCE</t>
  </si>
  <si>
    <t>공인회계사비/변호사비 / AUDIT/ATTORNEY FEE</t>
  </si>
  <si>
    <t>급여 서비스 / PAYROLL SERV FEES</t>
  </si>
  <si>
    <t>은행 서비스 / BANK SERV CHARGES</t>
  </si>
  <si>
    <t>임대료 / RENT</t>
  </si>
  <si>
    <t>회의참가비 / CONFERENCES/MEETING</t>
  </si>
  <si>
    <t>담임목사목회비 / SR. PASTOR'S</t>
  </si>
  <si>
    <t>PCA 상회비 / PCA</t>
  </si>
  <si>
    <t>교역자교육비 / STAFF DEVELOPMENT</t>
  </si>
  <si>
    <t>상회비 / PCA MEMBERSHIP</t>
  </si>
  <si>
    <t>당회비 / SESSION</t>
  </si>
  <si>
    <t>교역자사역비 / PASTORAL MINISTRY</t>
  </si>
  <si>
    <t>융자상환 / BLDG MORTGAGE</t>
  </si>
  <si>
    <t>GLOCAL CHURCH</t>
  </si>
  <si>
    <t>구제비 / RELIEF FUND</t>
  </si>
  <si>
    <t>장학금 / SCHOLARSHIP</t>
  </si>
  <si>
    <t>EC사역원 합계</t>
    <phoneticPr fontId="5" type="noConversion"/>
  </si>
  <si>
    <t>120 - EC사역원 / EC MINISTRY</t>
    <phoneticPr fontId="4" type="noConversion"/>
  </si>
  <si>
    <t>EC CENTREVILLE / Centerville Operation</t>
  </si>
  <si>
    <t>KCPC DC / DC Operation</t>
  </si>
  <si>
    <t>EC 대학부 SOJOURN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</si>
</sst>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_);_(* \(#,##0\);_(* &quot;-&quot;??_);_(@_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/>
    <xf numFmtId="0" fontId="10" fillId="0" borderId="0">
      <alignment vertical="center"/>
    </xf>
  </cellStyleXfs>
  <cellXfs count="67">
    <xf numFmtId="0" fontId="0" fillId="0" borderId="0" xfId="0">
      <alignment vertic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left" vertical="center"/>
    </xf>
    <xf numFmtId="3" fontId="7" fillId="0" borderId="6" xfId="0" applyNumberFormat="1" applyFont="1" applyBorder="1" applyAlignment="1">
      <alignment horizontal="right" vertical="center" wrapText="1"/>
    </xf>
    <xf numFmtId="0" fontId="8" fillId="0" borderId="5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3" fontId="7" fillId="0" borderId="8" xfId="0" applyNumberFormat="1" applyFont="1" applyBorder="1" applyAlignment="1">
      <alignment horizontal="right" vertic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3" fontId="3" fillId="0" borderId="11" xfId="2" applyNumberFormat="1" applyFont="1" applyBorder="1" applyAlignment="1">
      <alignment vertical="center" wrapText="1"/>
    </xf>
    <xf numFmtId="0" fontId="3" fillId="2" borderId="12" xfId="2" applyFont="1" applyFill="1" applyBorder="1" applyAlignment="1">
      <alignment horizontal="center" vertical="center" wrapText="1"/>
    </xf>
    <xf numFmtId="0" fontId="3" fillId="2" borderId="13" xfId="2" applyFont="1" applyFill="1" applyBorder="1" applyAlignment="1">
      <alignment horizontal="center" vertical="center" wrapText="1"/>
    </xf>
    <xf numFmtId="0" fontId="3" fillId="2" borderId="14" xfId="2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right" vertical="center" wrapText="1"/>
    </xf>
    <xf numFmtId="0" fontId="3" fillId="0" borderId="18" xfId="2" applyFont="1" applyBorder="1" applyAlignment="1">
      <alignment horizontal="center" vertical="center" wrapText="1"/>
    </xf>
    <xf numFmtId="176" fontId="3" fillId="0" borderId="19" xfId="1" applyNumberFormat="1" applyFont="1" applyFill="1" applyBorder="1" applyAlignment="1">
      <alignment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8" fillId="0" borderId="20" xfId="1" applyNumberFormat="1" applyFont="1" applyBorder="1" applyAlignment="1">
      <alignment horizontal="center" vertical="center"/>
    </xf>
    <xf numFmtId="49" fontId="6" fillId="0" borderId="15" xfId="2" applyNumberFormat="1" applyFont="1" applyBorder="1" applyAlignment="1">
      <alignment horizontal="center" vertical="center"/>
    </xf>
    <xf numFmtId="0" fontId="6" fillId="0" borderId="16" xfId="2" applyFont="1" applyBorder="1" applyAlignment="1">
      <alignment horizontal="left" vertical="center"/>
    </xf>
    <xf numFmtId="3" fontId="8" fillId="0" borderId="6" xfId="0" applyNumberFormat="1" applyFont="1" applyBorder="1">
      <alignment vertical="center"/>
    </xf>
    <xf numFmtId="3" fontId="7" fillId="0" borderId="6" xfId="0" applyNumberFormat="1" applyFont="1" applyBorder="1">
      <alignment vertical="center"/>
    </xf>
    <xf numFmtId="3" fontId="8" fillId="0" borderId="17" xfId="0" applyNumberFormat="1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76" fontId="9" fillId="0" borderId="21" xfId="1" applyNumberFormat="1" applyFont="1" applyBorder="1" applyAlignment="1">
      <alignment vertical="center"/>
    </xf>
    <xf numFmtId="0" fontId="3" fillId="2" borderId="12" xfId="2" applyFont="1" applyFill="1" applyBorder="1" applyAlignment="1">
      <alignment horizontal="center" vertical="center"/>
    </xf>
    <xf numFmtId="0" fontId="10" fillId="0" borderId="0" xfId="3">
      <alignment vertical="center"/>
    </xf>
    <xf numFmtId="0" fontId="3" fillId="2" borderId="13" xfId="2" applyFont="1" applyFill="1" applyBorder="1" applyAlignment="1">
      <alignment horizontal="center" vertical="center"/>
    </xf>
    <xf numFmtId="0" fontId="3" fillId="2" borderId="14" xfId="2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3" fontId="3" fillId="0" borderId="19" xfId="2" applyNumberFormat="1" applyFont="1" applyBorder="1" applyAlignment="1">
      <alignment horizontal="right" vertical="center"/>
    </xf>
    <xf numFmtId="0" fontId="3" fillId="2" borderId="22" xfId="2" applyFont="1" applyFill="1" applyBorder="1" applyAlignment="1">
      <alignment horizontal="center" vertical="center" wrapText="1"/>
    </xf>
    <xf numFmtId="0" fontId="3" fillId="2" borderId="23" xfId="2" applyFont="1" applyFill="1" applyBorder="1" applyAlignment="1">
      <alignment horizontal="center" vertical="center" wrapText="1"/>
    </xf>
    <xf numFmtId="0" fontId="3" fillId="2" borderId="24" xfId="2" applyFont="1" applyFill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right" vertical="center" wrapText="1"/>
    </xf>
    <xf numFmtId="0" fontId="6" fillId="0" borderId="15" xfId="2" applyFont="1" applyBorder="1" applyAlignment="1">
      <alignment horizontal="center" vertical="center"/>
    </xf>
    <xf numFmtId="0" fontId="6" fillId="3" borderId="16" xfId="2" applyFont="1" applyFill="1" applyBorder="1" applyAlignment="1">
      <alignment horizontal="left" vertical="center"/>
    </xf>
    <xf numFmtId="3" fontId="3" fillId="0" borderId="11" xfId="2" applyNumberFormat="1" applyFont="1" applyBorder="1" applyAlignment="1">
      <alignment horizontal="right" vertical="center" wrapText="1"/>
    </xf>
    <xf numFmtId="3" fontId="6" fillId="0" borderId="6" xfId="0" applyNumberFormat="1" applyFont="1" applyBorder="1" applyAlignment="1">
      <alignment horizontal="right" vertical="center" wrapText="1"/>
    </xf>
    <xf numFmtId="49" fontId="6" fillId="0" borderId="4" xfId="2" applyNumberFormat="1" applyFont="1" applyBorder="1" applyAlignment="1">
      <alignment horizontal="center" vertical="center"/>
    </xf>
    <xf numFmtId="3" fontId="3" fillId="0" borderId="19" xfId="2" applyNumberFormat="1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3" fillId="0" borderId="20" xfId="2" applyFont="1" applyBorder="1" applyAlignment="1">
      <alignment vertical="center" wrapText="1"/>
    </xf>
    <xf numFmtId="0" fontId="6" fillId="0" borderId="5" xfId="2" applyFont="1" applyBorder="1" applyAlignment="1">
      <alignment vertical="center"/>
    </xf>
    <xf numFmtId="0" fontId="3" fillId="0" borderId="10" xfId="2" applyFont="1" applyBorder="1" applyAlignment="1">
      <alignment horizontal="center" vertical="center"/>
    </xf>
    <xf numFmtId="3" fontId="3" fillId="0" borderId="11" xfId="2" applyNumberFormat="1" applyFont="1" applyBorder="1" applyAlignment="1">
      <alignment horizontal="right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3" fontId="3" fillId="0" borderId="19" xfId="2" applyNumberFormat="1" applyFont="1" applyBorder="1" applyAlignment="1">
      <alignment horizontal="right" vertical="center" wrapText="1"/>
    </xf>
    <xf numFmtId="0" fontId="8" fillId="3" borderId="4" xfId="0" quotePrefix="1" applyFont="1" applyFill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8" fillId="0" borderId="27" xfId="0" applyFont="1" applyBorder="1" applyAlignment="1">
      <alignment horizontal="center"/>
    </xf>
    <xf numFmtId="3" fontId="7" fillId="0" borderId="20" xfId="0" applyNumberFormat="1" applyFont="1" applyBorder="1">
      <alignment vertical="center"/>
    </xf>
    <xf numFmtId="0" fontId="0" fillId="0" borderId="5" xfId="0" applyBorder="1">
      <alignment vertical="center"/>
    </xf>
    <xf numFmtId="0" fontId="10" fillId="0" borderId="5" xfId="3" applyBorder="1">
      <alignment vertical="center"/>
    </xf>
    <xf numFmtId="0" fontId="6" fillId="0" borderId="5" xfId="2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2" xr:uid="{13CF9B11-9E8F-414B-BF1D-6DE2E7AC0D0A}"/>
    <cellStyle name="Normal 3" xfId="3" xr:uid="{D1D4AC56-F17B-4909-9422-D0A4FAF41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333D-901F-41E4-8850-9977D7578296}">
  <dimension ref="A1:C184"/>
  <sheetViews>
    <sheetView tabSelected="1" topLeftCell="A163" workbookViewId="0">
      <selection activeCell="B182" sqref="B182"/>
    </sheetView>
  </sheetViews>
  <sheetFormatPr defaultRowHeight="16.5" x14ac:dyDescent="0.3"/>
  <cols>
    <col min="1" max="1" width="4.5" bestFit="1" customWidth="1"/>
    <col min="2" max="2" width="48.625" bestFit="1" customWidth="1"/>
    <col min="3" max="3" width="18.125" customWidth="1"/>
  </cols>
  <sheetData>
    <row r="1" spans="1:3" ht="17.25" x14ac:dyDescent="0.3">
      <c r="A1" s="1" t="s">
        <v>1</v>
      </c>
      <c r="B1" s="2"/>
      <c r="C1" s="3"/>
    </row>
    <row r="2" spans="1:3" x14ac:dyDescent="0.3">
      <c r="A2" s="4">
        <v>10</v>
      </c>
      <c r="B2" s="63" t="s">
        <v>2</v>
      </c>
      <c r="C2" s="6">
        <v>42500</v>
      </c>
    </row>
    <row r="3" spans="1:3" x14ac:dyDescent="0.3">
      <c r="A3" s="4">
        <v>20</v>
      </c>
      <c r="B3" s="63" t="s">
        <v>3</v>
      </c>
      <c r="C3" s="6">
        <v>3000</v>
      </c>
    </row>
    <row r="4" spans="1:3" x14ac:dyDescent="0.3">
      <c r="A4" s="4">
        <v>25</v>
      </c>
      <c r="B4" s="63" t="s">
        <v>4</v>
      </c>
      <c r="C4" s="6">
        <v>1000</v>
      </c>
    </row>
    <row r="5" spans="1:3" x14ac:dyDescent="0.3">
      <c r="A5" s="4">
        <v>50</v>
      </c>
      <c r="B5" s="63" t="s">
        <v>5</v>
      </c>
      <c r="C5" s="6">
        <v>10000</v>
      </c>
    </row>
    <row r="6" spans="1:3" x14ac:dyDescent="0.3">
      <c r="A6" s="4">
        <v>56</v>
      </c>
      <c r="B6" s="63" t="s">
        <v>6</v>
      </c>
      <c r="C6" s="6">
        <v>8000</v>
      </c>
    </row>
    <row r="7" spans="1:3" x14ac:dyDescent="0.3">
      <c r="A7" s="4">
        <v>61</v>
      </c>
      <c r="B7" s="63" t="s">
        <v>7</v>
      </c>
      <c r="C7" s="6">
        <v>8000</v>
      </c>
    </row>
    <row r="8" spans="1:3" x14ac:dyDescent="0.3">
      <c r="A8" s="4">
        <v>66</v>
      </c>
      <c r="B8" s="63" t="s">
        <v>8</v>
      </c>
      <c r="C8" s="6">
        <v>2000</v>
      </c>
    </row>
    <row r="9" spans="1:3" x14ac:dyDescent="0.3">
      <c r="A9" s="4">
        <v>67</v>
      </c>
      <c r="B9" s="63" t="s">
        <v>9</v>
      </c>
      <c r="C9" s="6">
        <v>5000</v>
      </c>
    </row>
    <row r="10" spans="1:3" x14ac:dyDescent="0.3">
      <c r="A10" s="4">
        <v>80</v>
      </c>
      <c r="B10" s="63" t="s">
        <v>10</v>
      </c>
      <c r="C10" s="6">
        <v>8000</v>
      </c>
    </row>
    <row r="11" spans="1:3" x14ac:dyDescent="0.3">
      <c r="A11" s="8">
        <v>81</v>
      </c>
      <c r="B11" s="63" t="s">
        <v>11</v>
      </c>
      <c r="C11" s="6">
        <v>5000</v>
      </c>
    </row>
    <row r="12" spans="1:3" x14ac:dyDescent="0.3">
      <c r="A12" s="4">
        <v>85</v>
      </c>
      <c r="B12" s="63" t="s">
        <v>12</v>
      </c>
      <c r="C12" s="6">
        <v>12500</v>
      </c>
    </row>
    <row r="13" spans="1:3" ht="17.25" thickBot="1" x14ac:dyDescent="0.35">
      <c r="A13" s="9">
        <v>90</v>
      </c>
      <c r="B13" t="s">
        <v>13</v>
      </c>
      <c r="C13" s="10">
        <v>3000</v>
      </c>
    </row>
    <row r="14" spans="1:3" ht="18" thickBot="1" x14ac:dyDescent="0.35">
      <c r="A14" s="11" t="s">
        <v>0</v>
      </c>
      <c r="B14" s="12"/>
      <c r="C14" s="13">
        <f>SUM(C2:C13)</f>
        <v>108000</v>
      </c>
    </row>
    <row r="15" spans="1:3" ht="17.25" thickBot="1" x14ac:dyDescent="0.35"/>
    <row r="16" spans="1:3" ht="17.25" x14ac:dyDescent="0.3">
      <c r="A16" s="14" t="s">
        <v>15</v>
      </c>
      <c r="B16" s="15"/>
      <c r="C16" s="16"/>
    </row>
    <row r="17" spans="1:3" x14ac:dyDescent="0.3">
      <c r="A17" s="4">
        <v>113</v>
      </c>
      <c r="B17" s="63" t="s">
        <v>16</v>
      </c>
      <c r="C17" s="6">
        <v>5000</v>
      </c>
    </row>
    <row r="18" spans="1:3" x14ac:dyDescent="0.3">
      <c r="A18" s="4">
        <v>115</v>
      </c>
      <c r="B18" s="63" t="s">
        <v>17</v>
      </c>
      <c r="C18" s="6">
        <v>12000</v>
      </c>
    </row>
    <row r="19" spans="1:3" x14ac:dyDescent="0.3">
      <c r="A19" s="4">
        <v>120</v>
      </c>
      <c r="B19" s="63" t="s">
        <v>18</v>
      </c>
      <c r="C19" s="6">
        <v>5100</v>
      </c>
    </row>
    <row r="20" spans="1:3" x14ac:dyDescent="0.3">
      <c r="A20" s="8">
        <v>135</v>
      </c>
      <c r="B20" s="63" t="s">
        <v>19</v>
      </c>
      <c r="C20" s="6">
        <v>15000</v>
      </c>
    </row>
    <row r="21" spans="1:3" x14ac:dyDescent="0.3">
      <c r="A21" s="8">
        <v>136</v>
      </c>
      <c r="B21" s="63" t="s">
        <v>20</v>
      </c>
      <c r="C21" s="6">
        <v>40000</v>
      </c>
    </row>
    <row r="22" spans="1:3" x14ac:dyDescent="0.3">
      <c r="A22" s="8">
        <v>137</v>
      </c>
      <c r="B22" s="63" t="s">
        <v>21</v>
      </c>
      <c r="C22" s="6">
        <v>17000</v>
      </c>
    </row>
    <row r="23" spans="1:3" ht="17.25" thickBot="1" x14ac:dyDescent="0.35">
      <c r="A23" s="17">
        <v>138</v>
      </c>
      <c r="B23" t="s">
        <v>22</v>
      </c>
      <c r="C23" s="18">
        <v>1500</v>
      </c>
    </row>
    <row r="24" spans="1:3" ht="18" thickBot="1" x14ac:dyDescent="0.35">
      <c r="A24" s="11" t="s">
        <v>14</v>
      </c>
      <c r="B24" s="19"/>
      <c r="C24" s="20">
        <v>249100</v>
      </c>
    </row>
    <row r="25" spans="1:3" ht="17.25" thickBot="1" x14ac:dyDescent="0.35"/>
    <row r="26" spans="1:3" ht="17.25" x14ac:dyDescent="0.3">
      <c r="A26" s="1" t="s">
        <v>24</v>
      </c>
      <c r="B26" s="2"/>
      <c r="C26" s="3"/>
    </row>
    <row r="27" spans="1:3" x14ac:dyDescent="0.3">
      <c r="A27" s="8">
        <v>140</v>
      </c>
      <c r="B27" s="63" t="s">
        <v>25</v>
      </c>
      <c r="C27" s="6">
        <v>22500</v>
      </c>
    </row>
    <row r="28" spans="1:3" x14ac:dyDescent="0.3">
      <c r="A28" s="8">
        <v>145</v>
      </c>
      <c r="B28" s="63" t="s">
        <v>26</v>
      </c>
      <c r="C28" s="6">
        <v>2400</v>
      </c>
    </row>
    <row r="29" spans="1:3" x14ac:dyDescent="0.3">
      <c r="A29" s="8">
        <v>150</v>
      </c>
      <c r="B29" s="63" t="s">
        <v>27</v>
      </c>
      <c r="C29" s="6">
        <v>3300</v>
      </c>
    </row>
    <row r="30" spans="1:3" x14ac:dyDescent="0.3">
      <c r="A30" s="8">
        <v>153</v>
      </c>
      <c r="B30" s="63" t="s">
        <v>28</v>
      </c>
      <c r="C30" s="6">
        <v>3000</v>
      </c>
    </row>
    <row r="31" spans="1:3" ht="17.25" thickBot="1" x14ac:dyDescent="0.35">
      <c r="A31" s="17">
        <v>154</v>
      </c>
      <c r="B31" t="s">
        <v>29</v>
      </c>
      <c r="C31" s="18">
        <v>2200</v>
      </c>
    </row>
    <row r="32" spans="1:3" ht="17.25" thickBot="1" x14ac:dyDescent="0.35">
      <c r="A32" s="21" t="s">
        <v>23</v>
      </c>
      <c r="B32" s="22"/>
      <c r="C32" s="23">
        <v>33400</v>
      </c>
    </row>
    <row r="33" spans="1:3" ht="17.25" thickBot="1" x14ac:dyDescent="0.35"/>
    <row r="34" spans="1:3" ht="17.25" x14ac:dyDescent="0.3">
      <c r="A34" s="14" t="s">
        <v>31</v>
      </c>
      <c r="B34" s="15"/>
      <c r="C34" s="16"/>
    </row>
    <row r="35" spans="1:3" x14ac:dyDescent="0.3">
      <c r="A35" s="4">
        <v>165</v>
      </c>
      <c r="B35" t="s">
        <v>32</v>
      </c>
      <c r="C35" s="6">
        <v>2500</v>
      </c>
    </row>
    <row r="36" spans="1:3" x14ac:dyDescent="0.3">
      <c r="A36" s="4">
        <v>170</v>
      </c>
      <c r="B36" s="63" t="s">
        <v>33</v>
      </c>
      <c r="C36" s="6">
        <v>4500</v>
      </c>
    </row>
    <row r="37" spans="1:3" x14ac:dyDescent="0.3">
      <c r="A37" s="4">
        <v>175</v>
      </c>
      <c r="B37" s="63" t="s">
        <v>34</v>
      </c>
      <c r="C37" s="6">
        <v>33000</v>
      </c>
    </row>
    <row r="38" spans="1:3" x14ac:dyDescent="0.3">
      <c r="A38" s="4">
        <v>181</v>
      </c>
      <c r="B38" s="63" t="s">
        <v>35</v>
      </c>
      <c r="C38" s="6">
        <v>3600</v>
      </c>
    </row>
    <row r="39" spans="1:3" ht="17.25" thickBot="1" x14ac:dyDescent="0.35">
      <c r="A39" s="24">
        <v>182</v>
      </c>
      <c r="B39" t="s">
        <v>36</v>
      </c>
      <c r="C39" s="18">
        <v>6500</v>
      </c>
    </row>
    <row r="40" spans="1:3" ht="18" thickBot="1" x14ac:dyDescent="0.35">
      <c r="A40" s="11" t="s">
        <v>30</v>
      </c>
      <c r="B40" s="19"/>
      <c r="C40" s="20">
        <v>50100</v>
      </c>
    </row>
    <row r="41" spans="1:3" ht="17.25" thickBot="1" x14ac:dyDescent="0.35"/>
    <row r="42" spans="1:3" ht="17.25" x14ac:dyDescent="0.3">
      <c r="A42" s="1" t="s">
        <v>38</v>
      </c>
      <c r="B42" s="2"/>
      <c r="C42" s="3"/>
    </row>
    <row r="43" spans="1:3" x14ac:dyDescent="0.3">
      <c r="A43" s="8">
        <v>160</v>
      </c>
      <c r="B43" t="s">
        <v>39</v>
      </c>
      <c r="C43" s="26">
        <v>12000</v>
      </c>
    </row>
    <row r="44" spans="1:3" x14ac:dyDescent="0.3">
      <c r="A44" s="8">
        <v>186</v>
      </c>
      <c r="B44" s="63" t="s">
        <v>40</v>
      </c>
      <c r="C44" s="26">
        <v>3000</v>
      </c>
    </row>
    <row r="45" spans="1:3" x14ac:dyDescent="0.3">
      <c r="A45" s="8">
        <v>187</v>
      </c>
      <c r="B45" s="63" t="s">
        <v>41</v>
      </c>
      <c r="C45" s="26">
        <v>1000</v>
      </c>
    </row>
    <row r="46" spans="1:3" x14ac:dyDescent="0.3">
      <c r="A46" s="8">
        <v>188</v>
      </c>
      <c r="B46" s="63" t="s">
        <v>42</v>
      </c>
      <c r="C46" s="26">
        <v>3000</v>
      </c>
    </row>
    <row r="47" spans="1:3" x14ac:dyDescent="0.3">
      <c r="A47" s="8">
        <v>190</v>
      </c>
      <c r="B47" s="63" t="s">
        <v>43</v>
      </c>
      <c r="C47" s="26">
        <v>38000</v>
      </c>
    </row>
    <row r="48" spans="1:3" x14ac:dyDescent="0.3">
      <c r="A48" s="8">
        <v>191</v>
      </c>
      <c r="B48" s="64" t="s">
        <v>44</v>
      </c>
      <c r="C48" s="26">
        <v>2000</v>
      </c>
    </row>
    <row r="49" spans="1:3" x14ac:dyDescent="0.3">
      <c r="A49" s="8">
        <v>192</v>
      </c>
      <c r="B49" s="64" t="s">
        <v>45</v>
      </c>
      <c r="C49" s="26">
        <v>2000</v>
      </c>
    </row>
    <row r="50" spans="1:3" x14ac:dyDescent="0.3">
      <c r="A50" s="8">
        <v>193</v>
      </c>
      <c r="B50" s="64" t="s">
        <v>46</v>
      </c>
      <c r="C50" s="27">
        <v>2000</v>
      </c>
    </row>
    <row r="51" spans="1:3" x14ac:dyDescent="0.3">
      <c r="A51" s="8">
        <v>194</v>
      </c>
      <c r="B51" s="64" t="s">
        <v>47</v>
      </c>
      <c r="C51" s="27">
        <v>2000</v>
      </c>
    </row>
    <row r="52" spans="1:3" x14ac:dyDescent="0.3">
      <c r="A52" s="8">
        <v>155</v>
      </c>
      <c r="B52" s="33" t="s">
        <v>48</v>
      </c>
      <c r="C52" s="27">
        <v>2500</v>
      </c>
    </row>
    <row r="53" spans="1:3" ht="17.25" thickBot="1" x14ac:dyDescent="0.35">
      <c r="A53" s="17">
        <v>156</v>
      </c>
      <c r="B53" s="33" t="s">
        <v>49</v>
      </c>
      <c r="C53" s="28">
        <v>2500</v>
      </c>
    </row>
    <row r="54" spans="1:3" ht="17.25" thickBot="1" x14ac:dyDescent="0.35">
      <c r="A54" s="29" t="s">
        <v>37</v>
      </c>
      <c r="B54" s="30"/>
      <c r="C54" s="31">
        <v>70000</v>
      </c>
    </row>
    <row r="55" spans="1:3" ht="17.25" thickBot="1" x14ac:dyDescent="0.35"/>
    <row r="56" spans="1:3" ht="17.25" x14ac:dyDescent="0.3">
      <c r="A56" s="32" t="s">
        <v>52</v>
      </c>
      <c r="B56" s="34"/>
      <c r="C56" s="35"/>
    </row>
    <row r="57" spans="1:3" x14ac:dyDescent="0.3">
      <c r="A57" s="4">
        <v>210</v>
      </c>
      <c r="B57" t="s">
        <v>53</v>
      </c>
      <c r="C57" s="6">
        <v>14400</v>
      </c>
    </row>
    <row r="58" spans="1:3" x14ac:dyDescent="0.3">
      <c r="A58" s="4">
        <v>215</v>
      </c>
      <c r="B58" s="63" t="s">
        <v>54</v>
      </c>
      <c r="C58" s="6">
        <v>13900</v>
      </c>
    </row>
    <row r="59" spans="1:3" x14ac:dyDescent="0.3">
      <c r="A59" s="4">
        <v>220</v>
      </c>
      <c r="B59" s="63" t="s">
        <v>55</v>
      </c>
      <c r="C59" s="6">
        <v>13900</v>
      </c>
    </row>
    <row r="60" spans="1:3" x14ac:dyDescent="0.3">
      <c r="A60" s="4">
        <v>225</v>
      </c>
      <c r="B60" s="63" t="s">
        <v>56</v>
      </c>
      <c r="C60" s="6">
        <v>18700</v>
      </c>
    </row>
    <row r="61" spans="1:3" x14ac:dyDescent="0.3">
      <c r="A61" s="4">
        <v>230</v>
      </c>
      <c r="B61" s="63" t="s">
        <v>57</v>
      </c>
      <c r="C61" s="6">
        <v>22400</v>
      </c>
    </row>
    <row r="62" spans="1:3" x14ac:dyDescent="0.3">
      <c r="A62" s="4">
        <v>235</v>
      </c>
      <c r="B62" s="63" t="s">
        <v>58</v>
      </c>
      <c r="C62" s="6">
        <v>2600</v>
      </c>
    </row>
    <row r="63" spans="1:3" x14ac:dyDescent="0.3">
      <c r="A63" s="4">
        <v>240</v>
      </c>
      <c r="B63" s="63" t="s">
        <v>59</v>
      </c>
      <c r="C63" s="6">
        <v>21500</v>
      </c>
    </row>
    <row r="64" spans="1:3" x14ac:dyDescent="0.3">
      <c r="A64" s="4">
        <v>245</v>
      </c>
      <c r="B64" s="63" t="s">
        <v>60</v>
      </c>
      <c r="C64" s="6">
        <v>21600</v>
      </c>
    </row>
    <row r="65" spans="1:3" x14ac:dyDescent="0.3">
      <c r="A65" s="4">
        <v>250</v>
      </c>
      <c r="B65" s="63" t="s">
        <v>61</v>
      </c>
      <c r="C65" s="6">
        <v>1000</v>
      </c>
    </row>
    <row r="66" spans="1:3" x14ac:dyDescent="0.3">
      <c r="A66" s="4">
        <v>255</v>
      </c>
      <c r="B66" s="63" t="s">
        <v>62</v>
      </c>
      <c r="C66" s="6">
        <v>24700</v>
      </c>
    </row>
    <row r="67" spans="1:3" x14ac:dyDescent="0.3">
      <c r="A67" s="4">
        <v>260</v>
      </c>
      <c r="B67" s="63" t="s">
        <v>63</v>
      </c>
      <c r="C67" s="6">
        <v>11000</v>
      </c>
    </row>
    <row r="68" spans="1:3" x14ac:dyDescent="0.3">
      <c r="A68" s="4">
        <v>265</v>
      </c>
      <c r="B68" s="63" t="s">
        <v>64</v>
      </c>
      <c r="C68" s="6">
        <v>35000</v>
      </c>
    </row>
    <row r="69" spans="1:3" x14ac:dyDescent="0.3">
      <c r="A69" s="4">
        <v>270</v>
      </c>
      <c r="B69" s="63" t="s">
        <v>65</v>
      </c>
      <c r="C69" s="6">
        <v>6000</v>
      </c>
    </row>
    <row r="70" spans="1:3" ht="17.25" thickBot="1" x14ac:dyDescent="0.35">
      <c r="A70" s="36">
        <v>271</v>
      </c>
      <c r="B70" t="s">
        <v>50</v>
      </c>
      <c r="C70" s="18">
        <v>6000</v>
      </c>
    </row>
    <row r="71" spans="1:3" ht="18" thickBot="1" x14ac:dyDescent="0.35">
      <c r="A71" s="37" t="s">
        <v>51</v>
      </c>
      <c r="B71" s="38"/>
      <c r="C71" s="39">
        <f>SUM(C57:C70)</f>
        <v>212700</v>
      </c>
    </row>
    <row r="72" spans="1:3" ht="17.25" thickBot="1" x14ac:dyDescent="0.35"/>
    <row r="73" spans="1:3" ht="17.25" x14ac:dyDescent="0.3">
      <c r="A73" s="40" t="s">
        <v>67</v>
      </c>
      <c r="B73" s="41"/>
      <c r="C73" s="42"/>
    </row>
    <row r="74" spans="1:3" x14ac:dyDescent="0.3">
      <c r="A74" s="65">
        <v>300</v>
      </c>
      <c r="B74" s="63" t="s">
        <v>68</v>
      </c>
      <c r="C74" s="66">
        <v>80100</v>
      </c>
    </row>
    <row r="75" spans="1:3" x14ac:dyDescent="0.3">
      <c r="A75" s="65">
        <v>305</v>
      </c>
      <c r="B75" s="63" t="s">
        <v>69</v>
      </c>
      <c r="C75" s="66">
        <v>108400</v>
      </c>
    </row>
    <row r="76" spans="1:3" x14ac:dyDescent="0.3">
      <c r="A76" s="65">
        <v>310</v>
      </c>
      <c r="B76" s="63" t="s">
        <v>70</v>
      </c>
      <c r="C76" s="66">
        <v>89400</v>
      </c>
    </row>
    <row r="77" spans="1:3" x14ac:dyDescent="0.3">
      <c r="A77" s="65">
        <v>325</v>
      </c>
      <c r="B77" s="63" t="s">
        <v>71</v>
      </c>
      <c r="C77" s="66">
        <v>1000</v>
      </c>
    </row>
    <row r="78" spans="1:3" x14ac:dyDescent="0.3">
      <c r="A78" s="65">
        <v>335</v>
      </c>
      <c r="B78" s="63" t="s">
        <v>72</v>
      </c>
      <c r="C78" s="66">
        <v>4000</v>
      </c>
    </row>
    <row r="79" spans="1:3" x14ac:dyDescent="0.3">
      <c r="A79" s="65">
        <v>340</v>
      </c>
      <c r="B79" s="63" t="s">
        <v>73</v>
      </c>
      <c r="C79" s="66">
        <v>1000</v>
      </c>
    </row>
    <row r="80" spans="1:3" x14ac:dyDescent="0.3">
      <c r="A80" s="65">
        <v>345</v>
      </c>
      <c r="B80" s="63" t="s">
        <v>74</v>
      </c>
      <c r="C80" s="66">
        <v>1000</v>
      </c>
    </row>
    <row r="81" spans="1:3" x14ac:dyDescent="0.3">
      <c r="A81" s="65">
        <v>360</v>
      </c>
      <c r="B81" s="63" t="s">
        <v>75</v>
      </c>
      <c r="C81" s="66">
        <v>6000</v>
      </c>
    </row>
    <row r="82" spans="1:3" x14ac:dyDescent="0.3">
      <c r="A82" s="65">
        <v>410</v>
      </c>
      <c r="B82" s="63" t="s">
        <v>76</v>
      </c>
      <c r="C82" s="66">
        <v>34500</v>
      </c>
    </row>
    <row r="83" spans="1:3" x14ac:dyDescent="0.3">
      <c r="A83" s="65">
        <v>420</v>
      </c>
      <c r="B83" s="63" t="s">
        <v>77</v>
      </c>
      <c r="C83" s="66">
        <v>5000</v>
      </c>
    </row>
    <row r="84" spans="1:3" x14ac:dyDescent="0.3">
      <c r="A84" s="43">
        <v>425</v>
      </c>
      <c r="B84" t="s">
        <v>78</v>
      </c>
      <c r="C84" s="44">
        <v>16000</v>
      </c>
    </row>
    <row r="85" spans="1:3" ht="17.25" x14ac:dyDescent="0.3">
      <c r="A85" s="37" t="s">
        <v>66</v>
      </c>
      <c r="B85" s="38"/>
      <c r="C85" s="39">
        <f>SUM(C74:C84)</f>
        <v>346400</v>
      </c>
    </row>
    <row r="87" spans="1:3" ht="17.25" x14ac:dyDescent="0.3">
      <c r="A87" s="1" t="s">
        <v>80</v>
      </c>
      <c r="B87" s="2"/>
      <c r="C87" s="3"/>
    </row>
    <row r="88" spans="1:3" x14ac:dyDescent="0.3">
      <c r="A88" s="4">
        <v>435</v>
      </c>
      <c r="B88" s="5" t="s">
        <v>81</v>
      </c>
      <c r="C88" s="6">
        <v>3500</v>
      </c>
    </row>
    <row r="89" spans="1:3" x14ac:dyDescent="0.3">
      <c r="A89" s="4">
        <v>440</v>
      </c>
      <c r="B89" s="5" t="s">
        <v>82</v>
      </c>
      <c r="C89" s="6">
        <v>7500</v>
      </c>
    </row>
    <row r="90" spans="1:3" x14ac:dyDescent="0.3">
      <c r="A90" s="4">
        <v>445</v>
      </c>
      <c r="B90" s="5" t="s">
        <v>83</v>
      </c>
      <c r="C90" s="6">
        <v>12000</v>
      </c>
    </row>
    <row r="91" spans="1:3" x14ac:dyDescent="0.3">
      <c r="A91" s="45">
        <v>450</v>
      </c>
      <c r="B91" s="46" t="s">
        <v>84</v>
      </c>
      <c r="C91" s="18">
        <v>4000</v>
      </c>
    </row>
    <row r="92" spans="1:3" ht="17.25" x14ac:dyDescent="0.3">
      <c r="A92" s="11" t="s">
        <v>79</v>
      </c>
      <c r="B92" s="12"/>
      <c r="C92" s="47">
        <f>SUM(C88:C91)</f>
        <v>27000</v>
      </c>
    </row>
    <row r="94" spans="1:3" ht="17.25" x14ac:dyDescent="0.3">
      <c r="A94" s="14" t="s">
        <v>86</v>
      </c>
      <c r="B94" s="15"/>
      <c r="C94" s="16"/>
    </row>
    <row r="95" spans="1:3" x14ac:dyDescent="0.3">
      <c r="A95" s="4">
        <v>110</v>
      </c>
      <c r="B95" t="s">
        <v>87</v>
      </c>
      <c r="C95" s="48">
        <v>135000</v>
      </c>
    </row>
    <row r="96" spans="1:3" x14ac:dyDescent="0.3">
      <c r="A96" s="49">
        <v>112</v>
      </c>
      <c r="B96" s="63" t="s">
        <v>88</v>
      </c>
      <c r="C96" s="6">
        <v>500</v>
      </c>
    </row>
    <row r="97" spans="1:3" x14ac:dyDescent="0.3">
      <c r="A97" s="51">
        <v>116</v>
      </c>
      <c r="B97" s="63" t="s">
        <v>89</v>
      </c>
      <c r="C97" s="18">
        <v>6000</v>
      </c>
    </row>
    <row r="98" spans="1:3" x14ac:dyDescent="0.3">
      <c r="A98" s="43">
        <v>125</v>
      </c>
      <c r="B98" s="63" t="s">
        <v>90</v>
      </c>
      <c r="C98" s="6">
        <v>1500</v>
      </c>
    </row>
    <row r="99" spans="1:3" x14ac:dyDescent="0.3">
      <c r="A99" s="4">
        <v>530</v>
      </c>
      <c r="B99" t="s">
        <v>91</v>
      </c>
      <c r="C99" s="6"/>
    </row>
    <row r="100" spans="1:3" ht="17.25" x14ac:dyDescent="0.3">
      <c r="A100" s="11" t="s">
        <v>85</v>
      </c>
      <c r="B100" s="19"/>
      <c r="C100" s="50">
        <f>SUM(C95:C99)</f>
        <v>143000</v>
      </c>
    </row>
    <row r="102" spans="1:3" ht="17.25" x14ac:dyDescent="0.3">
      <c r="A102" s="1" t="s">
        <v>93</v>
      </c>
      <c r="B102" s="2"/>
      <c r="C102" s="3"/>
    </row>
    <row r="103" spans="1:3" x14ac:dyDescent="0.3">
      <c r="A103" s="4">
        <v>15</v>
      </c>
      <c r="B103" t="s">
        <v>94</v>
      </c>
      <c r="C103" s="6">
        <v>70000</v>
      </c>
    </row>
    <row r="104" spans="1:3" x14ac:dyDescent="0.3">
      <c r="A104" s="4">
        <v>540</v>
      </c>
      <c r="B104" s="63" t="s">
        <v>95</v>
      </c>
      <c r="C104" s="6">
        <v>25000</v>
      </c>
    </row>
    <row r="105" spans="1:3" x14ac:dyDescent="0.3">
      <c r="A105" s="4">
        <v>545</v>
      </c>
      <c r="B105" s="63" t="s">
        <v>96</v>
      </c>
      <c r="C105" s="6">
        <v>9000</v>
      </c>
    </row>
    <row r="106" spans="1:3" x14ac:dyDescent="0.3">
      <c r="A106" s="4">
        <v>550</v>
      </c>
      <c r="B106" s="63" t="s">
        <v>97</v>
      </c>
      <c r="C106" s="6">
        <v>80000</v>
      </c>
    </row>
    <row r="107" spans="1:3" x14ac:dyDescent="0.3">
      <c r="A107" s="4">
        <v>555</v>
      </c>
      <c r="B107" s="63" t="s">
        <v>98</v>
      </c>
      <c r="C107" s="6">
        <v>12400</v>
      </c>
    </row>
    <row r="108" spans="1:3" x14ac:dyDescent="0.3">
      <c r="A108" s="4">
        <v>560</v>
      </c>
      <c r="B108" s="63" t="s">
        <v>99</v>
      </c>
      <c r="C108" s="6">
        <v>24000</v>
      </c>
    </row>
    <row r="109" spans="1:3" x14ac:dyDescent="0.3">
      <c r="A109" s="4">
        <v>561</v>
      </c>
      <c r="B109" s="63" t="s">
        <v>100</v>
      </c>
      <c r="C109" s="6">
        <v>9659</v>
      </c>
    </row>
    <row r="110" spans="1:3" x14ac:dyDescent="0.3">
      <c r="A110" s="45">
        <v>564</v>
      </c>
      <c r="B110" t="s">
        <v>101</v>
      </c>
      <c r="C110" s="18">
        <v>35000</v>
      </c>
    </row>
    <row r="111" spans="1:3" ht="17.25" x14ac:dyDescent="0.3">
      <c r="A111" s="11" t="s">
        <v>92</v>
      </c>
      <c r="B111" s="12"/>
      <c r="C111" s="52">
        <v>265100</v>
      </c>
    </row>
    <row r="113" spans="1:3" ht="17.25" x14ac:dyDescent="0.3">
      <c r="A113" s="32" t="s">
        <v>103</v>
      </c>
      <c r="B113" s="34"/>
      <c r="C113" s="35"/>
    </row>
    <row r="114" spans="1:3" x14ac:dyDescent="0.3">
      <c r="A114" s="4">
        <v>565</v>
      </c>
      <c r="B114" s="53" t="s">
        <v>104</v>
      </c>
      <c r="C114" s="6">
        <v>35000</v>
      </c>
    </row>
    <row r="115" spans="1:3" x14ac:dyDescent="0.3">
      <c r="A115" s="4">
        <v>570</v>
      </c>
      <c r="B115" s="5" t="s">
        <v>105</v>
      </c>
      <c r="C115" s="6">
        <v>1000</v>
      </c>
    </row>
    <row r="116" spans="1:3" x14ac:dyDescent="0.3">
      <c r="A116" s="4">
        <v>590</v>
      </c>
      <c r="B116" s="5" t="s">
        <v>106</v>
      </c>
      <c r="C116" s="6">
        <v>15000</v>
      </c>
    </row>
    <row r="117" spans="1:3" x14ac:dyDescent="0.3">
      <c r="A117" s="4">
        <v>615</v>
      </c>
      <c r="B117" s="5" t="s">
        <v>107</v>
      </c>
      <c r="C117" s="6">
        <v>8000</v>
      </c>
    </row>
    <row r="118" spans="1:3" x14ac:dyDescent="0.3">
      <c r="A118" s="4">
        <v>620</v>
      </c>
      <c r="B118" s="5" t="s">
        <v>108</v>
      </c>
      <c r="C118" s="6">
        <v>15000</v>
      </c>
    </row>
    <row r="119" spans="1:3" x14ac:dyDescent="0.3">
      <c r="A119" s="45">
        <v>623</v>
      </c>
      <c r="B119" s="25" t="s">
        <v>109</v>
      </c>
      <c r="C119" s="18">
        <v>11000</v>
      </c>
    </row>
    <row r="120" spans="1:3" ht="17.25" x14ac:dyDescent="0.3">
      <c r="A120" s="37" t="s">
        <v>102</v>
      </c>
      <c r="B120" s="54"/>
      <c r="C120" s="55">
        <f>SUM(C114:C119)</f>
        <v>85000</v>
      </c>
    </row>
    <row r="122" spans="1:3" ht="17.25" x14ac:dyDescent="0.3">
      <c r="A122" s="14" t="s">
        <v>111</v>
      </c>
      <c r="B122" s="15"/>
      <c r="C122" s="16"/>
    </row>
    <row r="123" spans="1:3" x14ac:dyDescent="0.3">
      <c r="A123" s="4">
        <v>633</v>
      </c>
      <c r="B123" t="s">
        <v>112</v>
      </c>
      <c r="C123" s="6">
        <v>7000</v>
      </c>
    </row>
    <row r="124" spans="1:3" x14ac:dyDescent="0.3">
      <c r="A124" s="4">
        <v>635</v>
      </c>
      <c r="B124" s="63" t="s">
        <v>113</v>
      </c>
      <c r="C124" s="6">
        <v>123500</v>
      </c>
    </row>
    <row r="125" spans="1:3" x14ac:dyDescent="0.3">
      <c r="A125" s="4">
        <v>640</v>
      </c>
      <c r="B125" s="63" t="s">
        <v>114</v>
      </c>
      <c r="C125" s="6">
        <v>75000</v>
      </c>
    </row>
    <row r="126" spans="1:3" x14ac:dyDescent="0.3">
      <c r="A126" s="4">
        <v>650</v>
      </c>
      <c r="B126" s="63" t="s">
        <v>115</v>
      </c>
      <c r="C126" s="6">
        <v>8000</v>
      </c>
    </row>
    <row r="127" spans="1:3" x14ac:dyDescent="0.3">
      <c r="A127" s="4">
        <v>655</v>
      </c>
      <c r="B127" s="63" t="s">
        <v>116</v>
      </c>
      <c r="C127" s="6">
        <v>2000</v>
      </c>
    </row>
    <row r="128" spans="1:3" x14ac:dyDescent="0.3">
      <c r="A128" s="4">
        <v>657</v>
      </c>
      <c r="B128" s="63" t="s">
        <v>117</v>
      </c>
      <c r="C128" s="6">
        <v>2000</v>
      </c>
    </row>
    <row r="129" spans="1:3" x14ac:dyDescent="0.3">
      <c r="A129" s="49">
        <v>660</v>
      </c>
      <c r="B129" s="63" t="s">
        <v>118</v>
      </c>
      <c r="C129" s="6">
        <v>2500</v>
      </c>
    </row>
    <row r="130" spans="1:3" x14ac:dyDescent="0.3">
      <c r="A130" s="4">
        <v>665</v>
      </c>
      <c r="B130" s="63" t="s">
        <v>119</v>
      </c>
      <c r="C130" s="6">
        <v>471400</v>
      </c>
    </row>
    <row r="131" spans="1:3" x14ac:dyDescent="0.3">
      <c r="A131" s="56">
        <v>670</v>
      </c>
      <c r="B131" s="63" t="s">
        <v>120</v>
      </c>
      <c r="C131" s="6">
        <v>32800</v>
      </c>
    </row>
    <row r="132" spans="1:3" x14ac:dyDescent="0.3">
      <c r="A132" s="57">
        <v>675</v>
      </c>
      <c r="B132" t="s">
        <v>121</v>
      </c>
      <c r="C132" s="18">
        <v>6000</v>
      </c>
    </row>
    <row r="133" spans="1:3" ht="17.25" x14ac:dyDescent="0.3">
      <c r="A133" s="11" t="s">
        <v>110</v>
      </c>
      <c r="B133" s="19"/>
      <c r="C133" s="58">
        <f>SUM(C123:C132)</f>
        <v>730200</v>
      </c>
    </row>
    <row r="135" spans="1:3" ht="17.25" x14ac:dyDescent="0.3">
      <c r="A135" s="14" t="s">
        <v>123</v>
      </c>
      <c r="B135" s="15"/>
      <c r="C135" s="16"/>
    </row>
    <row r="136" spans="1:3" x14ac:dyDescent="0.3">
      <c r="A136" s="4">
        <v>130</v>
      </c>
      <c r="B136" t="s">
        <v>124</v>
      </c>
      <c r="C136" s="6">
        <v>3000</v>
      </c>
    </row>
    <row r="137" spans="1:3" x14ac:dyDescent="0.3">
      <c r="A137" s="8">
        <v>520</v>
      </c>
      <c r="B137" s="63" t="s">
        <v>125</v>
      </c>
      <c r="C137" s="6">
        <v>3000</v>
      </c>
    </row>
    <row r="138" spans="1:3" x14ac:dyDescent="0.3">
      <c r="A138" s="8">
        <v>525</v>
      </c>
      <c r="B138" s="63" t="s">
        <v>126</v>
      </c>
      <c r="C138" s="6">
        <v>500</v>
      </c>
    </row>
    <row r="139" spans="1:3" x14ac:dyDescent="0.3">
      <c r="A139" s="4">
        <v>710</v>
      </c>
      <c r="B139" s="63" t="s">
        <v>127</v>
      </c>
      <c r="C139" s="6">
        <v>4000</v>
      </c>
    </row>
    <row r="140" spans="1:3" x14ac:dyDescent="0.3">
      <c r="A140" s="4">
        <v>715</v>
      </c>
      <c r="B140" s="63" t="s">
        <v>128</v>
      </c>
      <c r="C140" s="48">
        <v>686100</v>
      </c>
    </row>
    <row r="141" spans="1:3" x14ac:dyDescent="0.3">
      <c r="A141" s="4">
        <v>720</v>
      </c>
      <c r="B141" s="63" t="s">
        <v>129</v>
      </c>
      <c r="C141" s="6">
        <v>1000</v>
      </c>
    </row>
    <row r="142" spans="1:3" x14ac:dyDescent="0.3">
      <c r="A142" s="4">
        <v>725</v>
      </c>
      <c r="B142" s="63" t="s">
        <v>130</v>
      </c>
      <c r="C142" s="6">
        <v>8000</v>
      </c>
    </row>
    <row r="143" spans="1:3" x14ac:dyDescent="0.3">
      <c r="A143" s="4">
        <v>730</v>
      </c>
      <c r="B143" s="63" t="s">
        <v>131</v>
      </c>
      <c r="C143" s="6">
        <v>90000</v>
      </c>
    </row>
    <row r="144" spans="1:3" x14ac:dyDescent="0.3">
      <c r="A144" s="4">
        <v>733</v>
      </c>
      <c r="B144" s="63" t="s">
        <v>132</v>
      </c>
      <c r="C144" s="6">
        <v>3500</v>
      </c>
    </row>
    <row r="145" spans="1:3" x14ac:dyDescent="0.3">
      <c r="A145" s="59">
        <v>740</v>
      </c>
      <c r="B145" s="63" t="s">
        <v>133</v>
      </c>
      <c r="C145" s="6">
        <v>1000</v>
      </c>
    </row>
    <row r="146" spans="1:3" x14ac:dyDescent="0.3">
      <c r="A146" s="45">
        <v>900</v>
      </c>
      <c r="B146" t="s">
        <v>134</v>
      </c>
      <c r="C146" s="18">
        <v>178100</v>
      </c>
    </row>
    <row r="147" spans="1:3" ht="17.25" x14ac:dyDescent="0.3">
      <c r="A147" s="11" t="s">
        <v>122</v>
      </c>
      <c r="B147" s="19"/>
      <c r="C147" s="58">
        <f>SUM(C136:C146)</f>
        <v>978200</v>
      </c>
    </row>
    <row r="149" spans="1:3" ht="17.25" x14ac:dyDescent="0.3">
      <c r="A149" s="1" t="s">
        <v>136</v>
      </c>
      <c r="B149" s="2"/>
      <c r="C149" s="3"/>
    </row>
    <row r="150" spans="1:3" x14ac:dyDescent="0.3">
      <c r="A150" s="8">
        <v>750</v>
      </c>
      <c r="B150" t="s">
        <v>137</v>
      </c>
      <c r="C150" s="27">
        <v>20000</v>
      </c>
    </row>
    <row r="151" spans="1:3" x14ac:dyDescent="0.3">
      <c r="A151" s="8">
        <v>752</v>
      </c>
      <c r="B151" s="63" t="s">
        <v>138</v>
      </c>
      <c r="C151" s="27">
        <v>1000</v>
      </c>
    </row>
    <row r="152" spans="1:3" x14ac:dyDescent="0.3">
      <c r="A152" s="8">
        <v>754</v>
      </c>
      <c r="B152" s="63" t="s">
        <v>139</v>
      </c>
      <c r="C152" s="27">
        <v>1000</v>
      </c>
    </row>
    <row r="153" spans="1:3" x14ac:dyDescent="0.3">
      <c r="A153" s="4">
        <v>756</v>
      </c>
      <c r="B153" s="63" t="s">
        <v>140</v>
      </c>
      <c r="C153" s="27">
        <v>2888559</v>
      </c>
    </row>
    <row r="154" spans="1:3" x14ac:dyDescent="0.3">
      <c r="A154" s="4">
        <v>758</v>
      </c>
      <c r="B154" s="63" t="s">
        <v>141</v>
      </c>
      <c r="C154" s="27">
        <v>774875</v>
      </c>
    </row>
    <row r="155" spans="1:3" x14ac:dyDescent="0.3">
      <c r="A155" s="4">
        <v>760</v>
      </c>
      <c r="B155" s="63" t="s">
        <v>142</v>
      </c>
      <c r="C155" s="27">
        <v>75600</v>
      </c>
    </row>
    <row r="156" spans="1:3" x14ac:dyDescent="0.3">
      <c r="A156" s="4">
        <v>762</v>
      </c>
      <c r="B156" s="63" t="s">
        <v>143</v>
      </c>
      <c r="C156" s="27">
        <v>76500</v>
      </c>
    </row>
    <row r="157" spans="1:3" x14ac:dyDescent="0.3">
      <c r="A157" s="4">
        <v>764</v>
      </c>
      <c r="B157" s="63" t="s">
        <v>144</v>
      </c>
      <c r="C157" s="27">
        <v>14000</v>
      </c>
    </row>
    <row r="158" spans="1:3" x14ac:dyDescent="0.3">
      <c r="A158" s="4">
        <v>765</v>
      </c>
      <c r="B158" s="63" t="s">
        <v>145</v>
      </c>
      <c r="C158" s="27">
        <v>27500</v>
      </c>
    </row>
    <row r="159" spans="1:3" x14ac:dyDescent="0.3">
      <c r="A159" s="4">
        <v>766</v>
      </c>
      <c r="B159" s="63" t="s">
        <v>146</v>
      </c>
      <c r="C159" s="27">
        <v>287073</v>
      </c>
    </row>
    <row r="160" spans="1:3" x14ac:dyDescent="0.3">
      <c r="A160" s="4">
        <v>768</v>
      </c>
      <c r="B160" s="63" t="s">
        <v>147</v>
      </c>
      <c r="C160" s="27">
        <v>363968</v>
      </c>
    </row>
    <row r="161" spans="1:3" x14ac:dyDescent="0.3">
      <c r="A161" s="4">
        <v>770</v>
      </c>
      <c r="B161" s="63" t="s">
        <v>148</v>
      </c>
      <c r="C161" s="27">
        <v>64767</v>
      </c>
    </row>
    <row r="162" spans="1:3" x14ac:dyDescent="0.3">
      <c r="A162" s="4">
        <v>772</v>
      </c>
      <c r="B162" s="63" t="s">
        <v>149</v>
      </c>
      <c r="C162" s="27">
        <v>90000</v>
      </c>
    </row>
    <row r="163" spans="1:3" x14ac:dyDescent="0.3">
      <c r="A163" s="4">
        <v>774</v>
      </c>
      <c r="B163" s="63" t="s">
        <v>150</v>
      </c>
      <c r="C163" s="27">
        <v>20000</v>
      </c>
    </row>
    <row r="164" spans="1:3" x14ac:dyDescent="0.3">
      <c r="A164" s="4">
        <v>776</v>
      </c>
      <c r="B164" s="63" t="s">
        <v>151</v>
      </c>
      <c r="C164" s="27">
        <v>3500</v>
      </c>
    </row>
    <row r="165" spans="1:3" x14ac:dyDescent="0.3">
      <c r="A165" s="4">
        <v>778</v>
      </c>
      <c r="B165" s="63" t="s">
        <v>152</v>
      </c>
      <c r="C165" s="27">
        <v>19500</v>
      </c>
    </row>
    <row r="166" spans="1:3" x14ac:dyDescent="0.3">
      <c r="A166" s="4">
        <v>780</v>
      </c>
      <c r="B166" s="63" t="s">
        <v>153</v>
      </c>
      <c r="C166" s="60">
        <v>500</v>
      </c>
    </row>
    <row r="167" spans="1:3" x14ac:dyDescent="0.3">
      <c r="A167" s="4">
        <v>784</v>
      </c>
      <c r="B167" s="63" t="s">
        <v>154</v>
      </c>
      <c r="C167" s="27">
        <v>12000</v>
      </c>
    </row>
    <row r="168" spans="1:3" x14ac:dyDescent="0.3">
      <c r="A168" s="4">
        <v>786</v>
      </c>
      <c r="B168" s="63" t="s">
        <v>155</v>
      </c>
      <c r="C168" s="27">
        <v>20000</v>
      </c>
    </row>
    <row r="169" spans="1:3" x14ac:dyDescent="0.3">
      <c r="A169" s="4">
        <v>788</v>
      </c>
      <c r="B169" s="63" t="s">
        <v>156</v>
      </c>
      <c r="C169" s="27">
        <v>30000</v>
      </c>
    </row>
    <row r="170" spans="1:3" x14ac:dyDescent="0.3">
      <c r="A170" s="4">
        <v>790</v>
      </c>
      <c r="B170" s="63" t="s">
        <v>157</v>
      </c>
      <c r="C170" s="27">
        <v>20000</v>
      </c>
    </row>
    <row r="171" spans="1:3" x14ac:dyDescent="0.3">
      <c r="A171" s="4">
        <v>792</v>
      </c>
      <c r="B171" s="63" t="s">
        <v>158</v>
      </c>
      <c r="C171" s="27">
        <v>2000</v>
      </c>
    </row>
    <row r="172" spans="1:3" x14ac:dyDescent="0.3">
      <c r="A172" s="4">
        <v>794</v>
      </c>
      <c r="B172" s="63" t="s">
        <v>159</v>
      </c>
      <c r="C172" s="27">
        <v>6000</v>
      </c>
    </row>
    <row r="173" spans="1:3" x14ac:dyDescent="0.3">
      <c r="A173" s="4">
        <v>798</v>
      </c>
      <c r="B173" s="63" t="s">
        <v>160</v>
      </c>
      <c r="C173" s="27">
        <v>30000</v>
      </c>
    </row>
    <row r="174" spans="1:3" x14ac:dyDescent="0.3">
      <c r="A174" s="4">
        <v>800</v>
      </c>
      <c r="B174" s="63" t="s">
        <v>161</v>
      </c>
      <c r="C174" s="27">
        <v>1003124</v>
      </c>
    </row>
    <row r="175" spans="1:3" x14ac:dyDescent="0.3">
      <c r="A175" s="4">
        <v>801</v>
      </c>
      <c r="B175" s="63" t="s">
        <v>162</v>
      </c>
      <c r="C175" s="27">
        <v>50000</v>
      </c>
    </row>
    <row r="176" spans="1:3" x14ac:dyDescent="0.3">
      <c r="A176" s="4">
        <v>802</v>
      </c>
      <c r="B176" s="63" t="s">
        <v>163</v>
      </c>
      <c r="C176" s="27">
        <v>100000</v>
      </c>
    </row>
    <row r="177" spans="1:3" x14ac:dyDescent="0.3">
      <c r="A177" s="61">
        <v>803</v>
      </c>
      <c r="B177" t="s">
        <v>164</v>
      </c>
      <c r="C177" s="62">
        <v>15000</v>
      </c>
    </row>
    <row r="178" spans="1:3" ht="17.25" x14ac:dyDescent="0.3">
      <c r="A178" s="11" t="s">
        <v>135</v>
      </c>
      <c r="B178" s="12"/>
      <c r="C178" s="47">
        <v>6016500</v>
      </c>
    </row>
    <row r="179" spans="1:3" ht="17.25" thickBot="1" x14ac:dyDescent="0.35"/>
    <row r="180" spans="1:3" ht="17.25" x14ac:dyDescent="0.3">
      <c r="A180" s="14" t="s">
        <v>166</v>
      </c>
      <c r="B180" s="15"/>
      <c r="C180" s="16"/>
    </row>
    <row r="181" spans="1:3" x14ac:dyDescent="0.3">
      <c r="A181" s="8">
        <v>910</v>
      </c>
      <c r="B181" s="7" t="s">
        <v>167</v>
      </c>
      <c r="C181" s="6">
        <v>55000</v>
      </c>
    </row>
    <row r="182" spans="1:3" x14ac:dyDescent="0.3">
      <c r="A182" s="8">
        <v>950</v>
      </c>
      <c r="B182" s="7" t="s">
        <v>168</v>
      </c>
      <c r="C182" s="6">
        <v>112400</v>
      </c>
    </row>
    <row r="183" spans="1:3" ht="17.25" thickBot="1" x14ac:dyDescent="0.35">
      <c r="A183" s="4">
        <v>430</v>
      </c>
      <c r="B183" s="5" t="s">
        <v>169</v>
      </c>
      <c r="C183" s="6">
        <v>30000</v>
      </c>
    </row>
    <row r="184" spans="1:3" ht="18" thickBot="1" x14ac:dyDescent="0.35">
      <c r="A184" s="11" t="s">
        <v>165</v>
      </c>
      <c r="B184" s="19"/>
      <c r="C184" s="58">
        <f>SUM(C181:C183)</f>
        <v>197400</v>
      </c>
    </row>
  </sheetData>
  <mergeCells count="30">
    <mergeCell ref="A178:B178"/>
    <mergeCell ref="A180:C180"/>
    <mergeCell ref="A184:B184"/>
    <mergeCell ref="A120:B120"/>
    <mergeCell ref="A122:C122"/>
    <mergeCell ref="A133:B133"/>
    <mergeCell ref="A135:C135"/>
    <mergeCell ref="A147:B147"/>
    <mergeCell ref="A149:C149"/>
    <mergeCell ref="A92:B92"/>
    <mergeCell ref="A94:C94"/>
    <mergeCell ref="A100:B100"/>
    <mergeCell ref="A102:C102"/>
    <mergeCell ref="A111:B111"/>
    <mergeCell ref="A113:C113"/>
    <mergeCell ref="A56:C56"/>
    <mergeCell ref="A71:B71"/>
    <mergeCell ref="A73:C73"/>
    <mergeCell ref="A85:B85"/>
    <mergeCell ref="A87:C87"/>
    <mergeCell ref="A34:C34"/>
    <mergeCell ref="A40:B40"/>
    <mergeCell ref="A42:C42"/>
    <mergeCell ref="A54:B54"/>
    <mergeCell ref="A1:C1"/>
    <mergeCell ref="A14:B14"/>
    <mergeCell ref="A16:C16"/>
    <mergeCell ref="A24:B24"/>
    <mergeCell ref="A26:C26"/>
    <mergeCell ref="A32:B3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Yoon</dc:creator>
  <cp:lastModifiedBy>Jane Yoon</cp:lastModifiedBy>
  <dcterms:created xsi:type="dcterms:W3CDTF">2026-03-20T17:30:27Z</dcterms:created>
  <dcterms:modified xsi:type="dcterms:W3CDTF">2026-03-20T18:14:41Z</dcterms:modified>
</cp:coreProperties>
</file>